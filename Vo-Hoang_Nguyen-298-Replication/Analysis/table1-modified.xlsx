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ickinson0-my.sharepoint.com/personal/hoangph_dickinson_edu/Documents/COURSES/ECON298/Bertrand-Mullainathan-AER2004 2/"/>
    </mc:Choice>
  </mc:AlternateContent>
  <xr:revisionPtr revIDLastSave="0" documentId="10_ncr:8_{10B799B8-3B0B-4C42-8A0D-BB51496A7FD2}" xr6:coauthVersionLast="47" xr6:coauthVersionMax="47" xr10:uidLastSave="{00000000-0000-0000-0000-000000000000}"/>
  <bookViews>
    <workbookView xWindow="0" yWindow="720" windowWidth="29400" windowHeight="18400" xr2:uid="{14AE55E6-C56E-0B48-B66C-EAA0453E42BF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10" i="1" l="1"/>
  <c r="D15" i="1"/>
  <c r="D20" i="1"/>
  <c r="D25" i="1"/>
  <c r="D5" i="1"/>
  <c r="E10" i="1"/>
  <c r="E15" i="1"/>
  <c r="E20" i="1"/>
  <c r="E25" i="1"/>
  <c r="E5" i="1"/>
  <c r="C25" i="1"/>
  <c r="B25" i="1"/>
  <c r="C20" i="1"/>
  <c r="B20" i="1"/>
  <c r="C15" i="1"/>
  <c r="B15" i="1"/>
  <c r="C10" i="1"/>
  <c r="B10" i="1"/>
  <c r="C5" i="1"/>
  <c r="B5" i="1"/>
</calcChain>
</file>

<file path=xl/sharedStrings.xml><?xml version="1.0" encoding="utf-8"?>
<sst xmlns="http://purl.oclc.org/ooxml/spreadsheetml/main" count="56" uniqueCount="34">
  <si>
    <t/>
  </si>
  <si>
    <t>VARIABLES</t>
  </si>
  <si>
    <t>(0.00599)</t>
  </si>
  <si>
    <t>(0.00498)</t>
  </si>
  <si>
    <t>(0.00741)</t>
  </si>
  <si>
    <t>(0.00615)</t>
  </si>
  <si>
    <t>(0.00975)</t>
  </si>
  <si>
    <t>(0.00813)</t>
  </si>
  <si>
    <t>(0.00692)</t>
  </si>
  <si>
    <t>(0.00573)</t>
  </si>
  <si>
    <t>(0.0119)</t>
  </si>
  <si>
    <t>(0.0100)</t>
  </si>
  <si>
    <t>Observations</t>
  </si>
  <si>
    <t>2,435</t>
  </si>
  <si>
    <t>1,352</t>
  </si>
  <si>
    <t>1,083</t>
  </si>
  <si>
    <t>1,860</t>
  </si>
  <si>
    <t>1,886</t>
  </si>
  <si>
    <t>575</t>
  </si>
  <si>
    <t>549</t>
  </si>
  <si>
    <t>Standard errors in parentheses</t>
  </si>
  <si>
    <t>*** p&lt;0.01, ** p&lt;0.05, * p&lt;0.1</t>
  </si>
  <si>
    <t>All  sent  resumes</t>
  </si>
  <si>
    <t>Boston</t>
  </si>
  <si>
    <t>Chicago</t>
  </si>
  <si>
    <t>Males</t>
  </si>
  <si>
    <t>Percent callback</t>
  </si>
  <si>
    <t>for White names</t>
  </si>
  <si>
    <t>Percent callback for</t>
  </si>
  <si>
    <t>African-American names </t>
  </si>
  <si>
    <t>Females</t>
  </si>
  <si>
    <t>Ratio</t>
  </si>
  <si>
    <t>Percent difference</t>
  </si>
  <si>
    <t>(p-value)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</si>
</sst>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Calibri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n">
        <color auto="1"/>
      </top>
      <bottom/>
      <diagonal/>
    </border>
    <border>
      <start/>
      <end/>
      <top/>
      <bottom style="thin">
        <color auto="1"/>
      </bottom>
      <diagonal/>
    </border>
    <border>
      <start/>
      <end style="thin">
        <color indexed="64"/>
      </end>
      <top style="thin">
        <color auto="1"/>
      </top>
      <bottom/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thin">
        <color auto="1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auto="1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auto="1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6476-0AF9-3D48-998A-DEB21041AF17}">
  <dimension ref="A2:K31"/>
  <sheetViews>
    <sheetView tabSelected="1" zoomScale="137" zoomScaleNormal="192" workbookViewId="0">
      <selection activeCell="B12" sqref="B12"/>
    </sheetView>
  </sheetViews>
  <sheetFormatPr baseColWidth="10" defaultRowHeight="14" x14ac:dyDescent="0.2"/>
  <cols>
    <col min="1" max="1" width="26.3984375" bestFit="1" customWidth="1"/>
    <col min="2" max="2" width="35" customWidth="1"/>
    <col min="3" max="3" width="34.796875" customWidth="1"/>
    <col min="4" max="4" width="11.59765625" customWidth="1"/>
    <col min="5" max="5" width="16.19921875" bestFit="1" customWidth="1"/>
    <col min="6" max="11" width="11.59765625" customWidth="1"/>
  </cols>
  <sheetData>
    <row r="2" spans="1:11" x14ac:dyDescent="0.2">
      <c r="A2" s="1" t="s">
        <v>0</v>
      </c>
      <c r="B2" s="9" t="s">
        <v>26</v>
      </c>
      <c r="C2" s="4" t="s">
        <v>28</v>
      </c>
      <c r="D2" s="13" t="s">
        <v>31</v>
      </c>
      <c r="E2" s="9" t="s">
        <v>32</v>
      </c>
      <c r="F2" s="3"/>
      <c r="G2" s="3"/>
      <c r="H2" s="3"/>
      <c r="I2" s="3"/>
      <c r="J2" s="3"/>
      <c r="K2" s="3"/>
    </row>
    <row r="3" spans="1:11" x14ac:dyDescent="0.2">
      <c r="A3" t="s">
        <v>1</v>
      </c>
      <c r="B3" s="10" t="s">
        <v>27</v>
      </c>
      <c r="C3" s="5" t="s">
        <v>29</v>
      </c>
      <c r="D3" s="14"/>
      <c r="E3" s="11" t="s">
        <v>33</v>
      </c>
      <c r="F3" s="3"/>
      <c r="G3" s="3"/>
      <c r="H3" s="3"/>
      <c r="I3" s="3"/>
      <c r="J3" s="3"/>
      <c r="K3" s="3"/>
    </row>
    <row r="4" spans="1:11" x14ac:dyDescent="0.2">
      <c r="A4" s="1" t="s">
        <v>0</v>
      </c>
      <c r="B4" s="9" t="s">
        <v>0</v>
      </c>
      <c r="C4" s="4" t="s">
        <v>0</v>
      </c>
      <c r="D4" s="3"/>
      <c r="E4" s="10"/>
      <c r="F4" s="3"/>
      <c r="G4" s="3"/>
      <c r="H4" s="3"/>
      <c r="I4" s="3"/>
      <c r="J4" s="3"/>
      <c r="K4" s="3"/>
    </row>
    <row r="5" spans="1:11" x14ac:dyDescent="0.2">
      <c r="A5" t="s">
        <v>22</v>
      </c>
      <c r="B5" s="10">
        <f>0.0965*100</f>
        <v>9.65</v>
      </c>
      <c r="C5" s="5">
        <f>0.0645*100</f>
        <v>6.45</v>
      </c>
      <c r="D5" s="3">
        <f>B5/C5</f>
        <v>1.4961240310077519</v>
      </c>
      <c r="E5" s="10">
        <f>B5-C5</f>
        <v>3.2</v>
      </c>
      <c r="F5" s="3"/>
      <c r="G5" s="3"/>
      <c r="H5" s="3"/>
      <c r="I5" s="3"/>
      <c r="J5" s="3"/>
      <c r="K5" s="3"/>
    </row>
    <row r="6" spans="1:11" x14ac:dyDescent="0.2">
      <c r="A6" t="s">
        <v>0</v>
      </c>
      <c r="B6" s="10" t="s">
        <v>2</v>
      </c>
      <c r="C6" s="5" t="s">
        <v>3</v>
      </c>
      <c r="D6" s="3"/>
      <c r="E6" s="10"/>
      <c r="F6" s="3"/>
      <c r="G6" s="3"/>
      <c r="H6" s="3"/>
      <c r="I6" s="3"/>
      <c r="J6" s="3"/>
      <c r="K6" s="3"/>
    </row>
    <row r="7" spans="1:11" x14ac:dyDescent="0.2">
      <c r="A7" t="s">
        <v>0</v>
      </c>
      <c r="B7" s="10" t="s">
        <v>0</v>
      </c>
      <c r="C7" s="5" t="s">
        <v>0</v>
      </c>
      <c r="D7" s="3"/>
      <c r="E7" s="10"/>
      <c r="F7" s="3"/>
      <c r="G7" s="3"/>
      <c r="H7" s="3"/>
      <c r="I7" s="3"/>
      <c r="J7" s="3"/>
      <c r="K7" s="3"/>
    </row>
    <row r="8" spans="1:11" x14ac:dyDescent="0.2">
      <c r="A8" s="2" t="s">
        <v>12</v>
      </c>
      <c r="B8" s="11" t="s">
        <v>13</v>
      </c>
      <c r="C8" s="6" t="s">
        <v>13</v>
      </c>
      <c r="D8" s="14"/>
      <c r="E8" s="11"/>
      <c r="F8" s="3"/>
      <c r="G8" s="3"/>
      <c r="H8" s="3"/>
      <c r="I8" s="3"/>
      <c r="J8" s="3"/>
      <c r="K8" s="3"/>
    </row>
    <row r="9" spans="1:11" x14ac:dyDescent="0.2">
      <c r="B9" s="10"/>
      <c r="C9" s="5"/>
      <c r="D9" s="3"/>
      <c r="E9" s="10"/>
    </row>
    <row r="10" spans="1:11" x14ac:dyDescent="0.2">
      <c r="A10" t="s">
        <v>24</v>
      </c>
      <c r="B10" s="10">
        <f>0.0806*100</f>
        <v>8.06</v>
      </c>
      <c r="C10" s="5">
        <f>0.054*100</f>
        <v>5.4</v>
      </c>
      <c r="D10" s="3">
        <f t="shared" ref="D6:D28" si="0">B10/C10</f>
        <v>1.4925925925925927</v>
      </c>
      <c r="E10" s="10">
        <f t="shared" ref="E6:E28" si="1">B10-C10</f>
        <v>2.66</v>
      </c>
    </row>
    <row r="11" spans="1:11" x14ac:dyDescent="0.2">
      <c r="B11" s="10" t="s">
        <v>4</v>
      </c>
      <c r="C11" s="5" t="s">
        <v>5</v>
      </c>
      <c r="D11" s="3"/>
      <c r="E11" s="10"/>
    </row>
    <row r="12" spans="1:11" x14ac:dyDescent="0.2">
      <c r="B12" s="10" t="s">
        <v>0</v>
      </c>
      <c r="C12" s="5" t="s">
        <v>0</v>
      </c>
      <c r="D12" s="3"/>
      <c r="E12" s="10"/>
    </row>
    <row r="13" spans="1:11" x14ac:dyDescent="0.2">
      <c r="A13" s="2" t="s">
        <v>12</v>
      </c>
      <c r="B13" s="11" t="s">
        <v>14</v>
      </c>
      <c r="C13" s="6" t="s">
        <v>14</v>
      </c>
      <c r="D13" s="14"/>
      <c r="E13" s="11"/>
    </row>
    <row r="14" spans="1:11" x14ac:dyDescent="0.2">
      <c r="B14" s="10"/>
      <c r="C14" s="5"/>
      <c r="D14" s="3"/>
      <c r="E14" s="10"/>
    </row>
    <row r="15" spans="1:11" x14ac:dyDescent="0.2">
      <c r="A15" t="s">
        <v>23</v>
      </c>
      <c r="B15" s="10">
        <f>0.116*100</f>
        <v>11.600000000000001</v>
      </c>
      <c r="C15" s="5">
        <f>0.0776*100</f>
        <v>7.76</v>
      </c>
      <c r="D15" s="3">
        <f t="shared" si="0"/>
        <v>1.4948453608247425</v>
      </c>
      <c r="E15" s="10">
        <f t="shared" si="1"/>
        <v>3.8400000000000016</v>
      </c>
    </row>
    <row r="16" spans="1:11" x14ac:dyDescent="0.2">
      <c r="B16" s="10" t="s">
        <v>6</v>
      </c>
      <c r="C16" s="5" t="s">
        <v>7</v>
      </c>
      <c r="D16" s="3"/>
      <c r="E16" s="10"/>
    </row>
    <row r="17" spans="1:5" x14ac:dyDescent="0.2">
      <c r="B17" s="10" t="s">
        <v>0</v>
      </c>
      <c r="C17" s="5" t="s">
        <v>0</v>
      </c>
      <c r="D17" s="3"/>
      <c r="E17" s="10"/>
    </row>
    <row r="18" spans="1:5" x14ac:dyDescent="0.2">
      <c r="A18" s="2" t="s">
        <v>12</v>
      </c>
      <c r="B18" s="11" t="s">
        <v>15</v>
      </c>
      <c r="C18" s="6" t="s">
        <v>15</v>
      </c>
      <c r="D18" s="14"/>
      <c r="E18" s="11"/>
    </row>
    <row r="19" spans="1:5" x14ac:dyDescent="0.2">
      <c r="B19" s="10"/>
      <c r="C19" s="5"/>
      <c r="D19" s="3"/>
      <c r="E19" s="10"/>
    </row>
    <row r="20" spans="1:5" x14ac:dyDescent="0.2">
      <c r="A20" t="s">
        <v>30</v>
      </c>
      <c r="B20" s="10">
        <f>0.0989*100</f>
        <v>9.89</v>
      </c>
      <c r="C20" s="5">
        <f>0.0663*100</f>
        <v>6.63</v>
      </c>
      <c r="D20" s="3">
        <f t="shared" si="0"/>
        <v>1.4917043740573153</v>
      </c>
      <c r="E20" s="10">
        <f t="shared" si="1"/>
        <v>3.2600000000000007</v>
      </c>
    </row>
    <row r="21" spans="1:5" x14ac:dyDescent="0.2">
      <c r="B21" s="10" t="s">
        <v>8</v>
      </c>
      <c r="C21" s="5" t="s">
        <v>9</v>
      </c>
      <c r="D21" s="3"/>
      <c r="E21" s="10"/>
    </row>
    <row r="22" spans="1:5" x14ac:dyDescent="0.2">
      <c r="B22" s="10" t="s">
        <v>0</v>
      </c>
      <c r="C22" s="5" t="s">
        <v>0</v>
      </c>
      <c r="D22" s="3"/>
      <c r="E22" s="10"/>
    </row>
    <row r="23" spans="1:5" x14ac:dyDescent="0.2">
      <c r="A23" s="2" t="s">
        <v>12</v>
      </c>
      <c r="B23" s="11" t="s">
        <v>16</v>
      </c>
      <c r="C23" s="6" t="s">
        <v>17</v>
      </c>
      <c r="D23" s="14"/>
      <c r="E23" s="11"/>
    </row>
    <row r="24" spans="1:5" x14ac:dyDescent="0.2">
      <c r="B24" s="12"/>
      <c r="C24" s="7"/>
      <c r="D24" s="3"/>
      <c r="E24" s="10"/>
    </row>
    <row r="25" spans="1:5" x14ac:dyDescent="0.2">
      <c r="A25" t="s">
        <v>25</v>
      </c>
      <c r="B25" s="10">
        <f>0.0887*100</f>
        <v>8.870000000000001</v>
      </c>
      <c r="C25" s="5">
        <f>0.0583*100</f>
        <v>5.83</v>
      </c>
      <c r="D25" s="3">
        <f t="shared" si="0"/>
        <v>1.521440823327616</v>
      </c>
      <c r="E25" s="10">
        <f t="shared" si="1"/>
        <v>3.0400000000000009</v>
      </c>
    </row>
    <row r="26" spans="1:5" x14ac:dyDescent="0.2">
      <c r="B26" s="10" t="s">
        <v>10</v>
      </c>
      <c r="C26" s="5" t="s">
        <v>11</v>
      </c>
      <c r="D26" s="3"/>
      <c r="E26" s="10"/>
    </row>
    <row r="27" spans="1:5" x14ac:dyDescent="0.2">
      <c r="B27" s="10" t="s">
        <v>0</v>
      </c>
      <c r="C27" s="5" t="s">
        <v>0</v>
      </c>
      <c r="D27" s="3"/>
      <c r="E27" s="10"/>
    </row>
    <row r="28" spans="1:5" x14ac:dyDescent="0.2">
      <c r="A28" s="2" t="s">
        <v>12</v>
      </c>
      <c r="B28" s="11" t="s">
        <v>18</v>
      </c>
      <c r="C28" s="8" t="s">
        <v>19</v>
      </c>
      <c r="D28" s="14"/>
      <c r="E28" s="11"/>
    </row>
    <row r="30" spans="1:5" x14ac:dyDescent="0.2">
      <c r="A30" t="s">
        <v>20</v>
      </c>
    </row>
    <row r="31" spans="1:5" x14ac:dyDescent="0.2">
      <c r="A31" t="s">
        <v>21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Hoang, Jennette</cp:lastModifiedBy>
  <dcterms:created xsi:type="dcterms:W3CDTF">2025-12-03T01:33:03Z</dcterms:created>
  <dcterms:modified xsi:type="dcterms:W3CDTF">2025-12-03T02:11:39Z</dcterms:modified>
</cp:coreProperties>
</file>